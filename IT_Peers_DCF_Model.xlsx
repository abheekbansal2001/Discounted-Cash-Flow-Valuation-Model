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s Summary" sheetId="1" state="visible" r:id="rId3"/>
    <sheet name="Assumptions" sheetId="2" state="visible" r:id="rId4"/>
    <sheet name="Historicals" sheetId="3" state="visible" r:id="rId5"/>
    <sheet name="DCF - TCS" sheetId="4" state="visible" r:id="rId6"/>
    <sheet name="DCF - Infosys" sheetId="5" state="visible" r:id="rId7"/>
    <sheet name="DCF - HCLTec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<sst xmlns="http://schemas.openxmlformats.org/spreadsheetml/2006/main" count="198" uniqueCount="97">
  <si>
    <t xml:space="preserve">Indian IT Services — DCF Valuation Comparison (Current, Jul 2026)</t>
  </si>
  <si>
    <t xml:space="preserve">Metric</t>
  </si>
  <si>
    <t xml:space="preserve">TCS</t>
  </si>
  <si>
    <t xml:space="preserve">Infosys</t>
  </si>
  <si>
    <t xml:space="preserve">HCLTech</t>
  </si>
  <si>
    <t xml:space="preserve">WACC</t>
  </si>
  <si>
    <t xml:space="preserve">Enterprise Value (₹ Cr)</t>
  </si>
  <si>
    <t xml:space="preserve">Equity Value (₹ Cr)</t>
  </si>
  <si>
    <t xml:space="preserve">Implied Value per Share (₹)</t>
  </si>
  <si>
    <t xml:space="preserve">Current Share Price (₹, Jul 2026)</t>
  </si>
  <si>
    <t xml:space="preserve">Implied Upside / (Downside)</t>
  </si>
  <si>
    <t xml:space="preserve">EV / FY26A EBIT (x)</t>
  </si>
  <si>
    <t xml:space="preserve">FY26A EBIT Margin</t>
  </si>
  <si>
    <t xml:space="preserve">All three companies use identical methodology (WACC via CAPM, 5-yr FCFF projection, Gordon Growth terminal value with the same 5% terminal growth and 25% tax rate) so relative valuation differences reflect company-specific inputs (growth, margin, beta, capital structure) rather than modeling inconsistency. See each company's DCF tab for full build-up; see Assumptions tab for all inputs and sources.</t>
  </si>
  <si>
    <t xml:space="preserve">Indian IT Services — 3-Company DCF Model: Assumptions (Current, as of Jul 2026)</t>
  </si>
  <si>
    <t xml:space="preserve">Shared Macro &amp; Methodology Assumptions (applied to all 3 companies)</t>
  </si>
  <si>
    <t xml:space="preserve">Risk-Free Rate (India 10Y G-Sec, Jul 2026)</t>
  </si>
  <si>
    <t xml:space="preserve">Source: Trading Economics, India 10Y bond yield, Jul 2026</t>
  </si>
  <si>
    <t xml:space="preserve">Equity Risk Premium — India</t>
  </si>
  <si>
    <t xml:space="preserve">Illustrative estimate (Damodaran-style country ERP)</t>
  </si>
  <si>
    <t xml:space="preserve">Effective Tax Rate (all 3 companies)</t>
  </si>
  <si>
    <t xml:space="preserve">Typical effective rate for large Indian IT exporters</t>
  </si>
  <si>
    <t xml:space="preserve">Pre-Tax Cost of Debt (all 3 companies)</t>
  </si>
  <si>
    <t xml:space="preserve">Assumed ~AAA Indian corporate bond yield</t>
  </si>
  <si>
    <t xml:space="preserve">D&amp;A (% of Revenue, all 3)</t>
  </si>
  <si>
    <t xml:space="preserve">Consistent methodology across peers for comparability</t>
  </si>
  <si>
    <t xml:space="preserve">Capex (% of Revenue, all 3)</t>
  </si>
  <si>
    <t xml:space="preserve">Incremental NWC (% of ΔRevenue, all 3)</t>
  </si>
  <si>
    <t xml:space="preserve">Terminal Growth Rate (g, all 3)</t>
  </si>
  <si>
    <t xml:space="preserve">Conservative — below long-run nominal GDP growth &amp; Rf</t>
  </si>
  <si>
    <t xml:space="preserve">Company-Specific Inputs (Current — Latest Audited FY &amp; Live Market Data, Jul 2026)</t>
  </si>
  <si>
    <t xml:space="preserve">Current Share Price (₹)</t>
  </si>
  <si>
    <t xml:space="preserve">Source: NSE/Yahoo Finance, close prices, Jul 2026</t>
  </si>
  <si>
    <t xml:space="preserve">Shares Outstanding (Cr)</t>
  </si>
  <si>
    <t xml:space="preserve">TCS/Infosys: co. filings &amp; market cap cross-check; HCLTech: derived from FY26 Net Profit / EPS</t>
  </si>
  <si>
    <t xml:space="preserve">Levered Beta (5-Year)</t>
  </si>
  <si>
    <t xml:space="preserve">TCS: Morningstar 5Y beta; Infosys/HCLTech: approximate, similar low-beta IT peer profile</t>
  </si>
  <si>
    <t xml:space="preserve">Total Debt (₹ Cr, FY26)</t>
  </si>
  <si>
    <t xml:space="preserve">TCS: FY26 Consolidated Balance Sheet; Infosys/HCLTech approximate — both are near debt-free</t>
  </si>
  <si>
    <t xml:space="preserve">Cash &amp; Investments (₹ Cr, FY26)</t>
  </si>
  <si>
    <t xml:space="preserve">TCS: FY26 Consolidated Balance Sheet; Infosys/HCLTech approximate</t>
  </si>
  <si>
    <t xml:space="preserve">Base Year Revenue — FY26A (₹ Cr)</t>
  </si>
  <si>
    <t xml:space="preserve">FY26 Consolidated P&amp;L (audited, year ended Mar 2026); HCLTech derived from reported Net Income as % of revenue</t>
  </si>
  <si>
    <t xml:space="preserve">EBIT Margin (FY26A, held constant)</t>
  </si>
  <si>
    <t xml:space="preserve">FY26 Operating Profit / Revenue (HCLTech: normalized, excl. one-time Labour Code charge)</t>
  </si>
  <si>
    <t xml:space="preserve">Revenue Growth — Year 1</t>
  </si>
  <si>
    <t xml:space="preserve">Revenue Growth — Year 2</t>
  </si>
  <si>
    <t xml:space="preserve">Revenue Growth — Year 3</t>
  </si>
  <si>
    <t xml:space="preserve">Revenue Growth — Year 4</t>
  </si>
  <si>
    <t xml:space="preserve">Revenue Growth — Year 5</t>
  </si>
  <si>
    <t xml:space="preserve">Derived: Market Cap, Cost of Capital (WACC)</t>
  </si>
  <si>
    <t xml:space="preserve">Market Capitalization (₹ Cr)</t>
  </si>
  <si>
    <t xml:space="preserve">Net Debt / (Net Cash) (₹ Cr)</t>
  </si>
  <si>
    <t xml:space="preserve">Cost of Equity (Ke = Rf + β × ERP)</t>
  </si>
  <si>
    <t xml:space="preserve">After-Tax Cost of Debt</t>
  </si>
  <si>
    <t xml:space="preserve">Weight of Equity — E/(D+E)</t>
  </si>
  <si>
    <t xml:space="preserve">Weight of Debt — D/(D+E)</t>
  </si>
  <si>
    <t xml:space="preserve">Share prices are live/current (Jul 2026), directly verifiable via NSE/Yahoo Finance. TCS financials and balance sheet figures are from audited FY26 filings. Debt/cash figures for Infosys and HCLTech are reasonable estimates (both are near debt-free), not exact filings — flagged for follow-up if precision matters. Blue = hardcoded input. Black = formula. Model built for educational/portfolio purposes; not investment advice.</t>
  </si>
  <si>
    <t xml:space="preserve">TCS / Infosys / HCLTech — Recent Financials (Consolidated, ₹ Crores, FY ended March, FY23-FY26)</t>
  </si>
  <si>
    <t xml:space="preserve">FY2023</t>
  </si>
  <si>
    <t xml:space="preserve">FY2024</t>
  </si>
  <si>
    <t xml:space="preserve">FY2025</t>
  </si>
  <si>
    <t xml:space="preserve">FY2026</t>
  </si>
  <si>
    <t xml:space="preserve">Revenue</t>
  </si>
  <si>
    <t xml:space="preserve">EBIT (Operating Profit)</t>
  </si>
  <si>
    <t xml:space="preserve">EBIT Margin %</t>
  </si>
  <si>
    <t xml:space="preserve">Net Profit</t>
  </si>
  <si>
    <t xml:space="preserve">Revenue Growth % (YoY)</t>
  </si>
  <si>
    <t xml:space="preserve">Source: Company FY26 (year ended March 2026) and prior-year investor releases, and Screener.in consolidated financials, accessed July 2026. HCLTech FY26 figures normalized to exclude one-time Labour Code charge.</t>
  </si>
  <si>
    <t xml:space="preserve">TCS — Discounted Cash Flow (DCF) Model — FCFF Approach (Base Year: FY26A)</t>
  </si>
  <si>
    <t xml:space="preserve">(₹ Crores unless noted)</t>
  </si>
  <si>
    <t xml:space="preserve">FY26A</t>
  </si>
  <si>
    <t xml:space="preserve">Yr1E</t>
  </si>
  <si>
    <t xml:space="preserve">Yr2E</t>
  </si>
  <si>
    <t xml:space="preserve">Yr3E</t>
  </si>
  <si>
    <t xml:space="preserve">Yr4E</t>
  </si>
  <si>
    <t xml:space="preserve">Yr5E</t>
  </si>
  <si>
    <t xml:space="preserve">  Revenue Growth %</t>
  </si>
  <si>
    <t xml:space="preserve">  EBIT Margin %</t>
  </si>
  <si>
    <t xml:space="preserve">Less: Cash Taxes (Effective Rate)</t>
  </si>
  <si>
    <t xml:space="preserve">NOPAT (Net Operating Profit After Tax)</t>
  </si>
  <si>
    <t xml:space="preserve">Add: Depreciation &amp; Amortization</t>
  </si>
  <si>
    <t xml:space="preserve">Less: Capital Expenditure</t>
  </si>
  <si>
    <t xml:space="preserve">Less: Increase in Net Working Capital</t>
  </si>
  <si>
    <t xml:space="preserve">Unlevered Free Cash Flow (FCFF)</t>
  </si>
  <si>
    <t xml:space="preserve">Discount Period (t)</t>
  </si>
  <si>
    <t xml:space="preserve">Discount Factor @ WACC</t>
  </si>
  <si>
    <t xml:space="preserve">PV of FCFF</t>
  </si>
  <si>
    <t xml:space="preserve">Valuation Summary</t>
  </si>
  <si>
    <t xml:space="preserve">Sum of PV of Explicit FCFF (Yr1E-Yr5E)</t>
  </si>
  <si>
    <t xml:space="preserve">Terminal Value (Gordon Growth, end of Yr5E)</t>
  </si>
  <si>
    <t xml:space="preserve">PV of Terminal Value</t>
  </si>
  <si>
    <t xml:space="preserve">Enterprise Value</t>
  </si>
  <si>
    <t xml:space="preserve">Less: Net Debt / (Net Cash)</t>
  </si>
  <si>
    <t xml:space="preserve">Equity Value</t>
  </si>
  <si>
    <t xml:space="preserve">Infosys — Discounted Cash Flow (DCF) Model — FCFF Approach (Base Year: FY26A)</t>
  </si>
  <si>
    <t xml:space="preserve">HCLTech — Discounted Cash Flow (DCF) Model — FCFF Approach (Base Year: FY26A)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</si>
</sst>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"/>
    <numFmt numFmtId="166" formatCode="#,##0"/>
    <numFmt numFmtId="167" formatCode="\₹#,##0.00"/>
    <numFmt numFmtId="168" formatCode="\+0.0%;\-0.0%"/>
    <numFmt numFmtId="169" formatCode="0.00\x"/>
    <numFmt numFmtId="170" formatCode="0.0%"/>
    <numFmt numFmtId="171" formatCode="\₹#,##0"/>
    <numFmt numFmtId="172" formatCode="#,##0.0"/>
    <numFmt numFmtId="173" formatCode="0.00"/>
    <numFmt numFmtId="174" formatCode="0"/>
    <numFmt numFmtId="17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5" t="n">
        <f aca="false">Assumptions!B36</f>
        <v>0.123683583344125</v>
      </c>
      <c r="C4" s="5" t="n">
        <f aca="false">Assumptions!C36</f>
        <v>0.125679615851367</v>
      </c>
      <c r="D4" s="5" t="n">
        <f aca="false">Assumptions!D36</f>
        <v>0.122431929785402</v>
      </c>
    </row>
    <row r="5" customFormat="false" ht="15" hidden="false" customHeight="false" outlineLevel="0" collapsed="false">
      <c r="A5" s="4" t="s">
        <v>6</v>
      </c>
      <c r="B5" s="6" t="n">
        <f aca="false">'DCF - TCS'!B29</f>
        <v>799807.961087482</v>
      </c>
      <c r="C5" s="6" t="n">
        <f aca="false">'DCF - Infosys'!B29</f>
        <v>395519.584616381</v>
      </c>
      <c r="D5" s="6" t="n">
        <f aca="false">'DCF - HCLTech'!B29</f>
        <v>255621.674769696</v>
      </c>
    </row>
    <row r="6" customFormat="false" ht="15" hidden="false" customHeight="false" outlineLevel="0" collapsed="false">
      <c r="A6" s="4" t="s">
        <v>7</v>
      </c>
      <c r="B6" s="6" t="n">
        <f aca="false">'DCF - TCS'!B31</f>
        <v>822512.961087482</v>
      </c>
      <c r="C6" s="6" t="n">
        <f aca="false">'DCF - Infosys'!B31</f>
        <v>409519.584616381</v>
      </c>
      <c r="D6" s="6" t="n">
        <f aca="false">'DCF - HCLTech'!B31</f>
        <v>265121.674769696</v>
      </c>
    </row>
    <row r="7" customFormat="false" ht="15" hidden="false" customHeight="false" outlineLevel="0" collapsed="false">
      <c r="A7" s="7" t="s">
        <v>8</v>
      </c>
      <c r="B7" s="8" t="n">
        <f aca="false">'DCF - TCS'!B33</f>
        <v>2273.39126889851</v>
      </c>
      <c r="C7" s="8" t="n">
        <f aca="false">'DCF - Infosys'!B33</f>
        <v>994.945540856125</v>
      </c>
      <c r="D7" s="8" t="n">
        <f aca="false">'DCF - HCLTech'!B33</f>
        <v>976.866893034988</v>
      </c>
    </row>
    <row r="8" customFormat="false" ht="15" hidden="false" customHeight="false" outlineLevel="0" collapsed="false">
      <c r="A8" s="4" t="s">
        <v>9</v>
      </c>
      <c r="B8" s="9" t="n">
        <f aca="false">'DCF - TCS'!B34</f>
        <v>2069</v>
      </c>
      <c r="C8" s="9" t="n">
        <f aca="false">'DCF - Infosys'!B34</f>
        <v>1053</v>
      </c>
      <c r="D8" s="9" t="n">
        <f aca="false">'DCF - HCLTech'!B34</f>
        <v>1150</v>
      </c>
    </row>
    <row r="9" customFormat="false" ht="15" hidden="false" customHeight="false" outlineLevel="0" collapsed="false">
      <c r="A9" s="2" t="s">
        <v>10</v>
      </c>
      <c r="B9" s="10" t="n">
        <f aca="false">'DCF - TCS'!B35</f>
        <v>0.0987874668431668</v>
      </c>
      <c r="C9" s="10" t="n">
        <f aca="false">'DCF - Infosys'!B35</f>
        <v>-0.0551324398327394</v>
      </c>
      <c r="D9" s="10" t="n">
        <f aca="false">'DCF - HCLTech'!B35</f>
        <v>-0.150550527795663</v>
      </c>
    </row>
    <row r="10" customFormat="false" ht="15" hidden="false" customHeight="false" outlineLevel="0" collapsed="false">
      <c r="A10" s="4" t="s">
        <v>11</v>
      </c>
      <c r="B10" s="11" t="n">
        <f aca="false">'DCF - TCS'!B29/Assumptions!B20/Assumptions!B21</f>
        <v>11.0527669719674</v>
      </c>
      <c r="C10" s="11" t="n">
        <f aca="false">'DCF - Infosys'!B29/Assumptions!C20/Assumptions!C21</f>
        <v>10.9060864148432</v>
      </c>
      <c r="D10" s="11" t="n">
        <f aca="false">'DCF - HCLTech'!B29/Assumptions!D20/Assumptions!D21</f>
        <v>10.9400926118307</v>
      </c>
    </row>
    <row r="11" customFormat="false" ht="15" hidden="false" customHeight="false" outlineLevel="0" collapsed="false">
      <c r="A11" s="4" t="s">
        <v>12</v>
      </c>
      <c r="B11" s="12" t="n">
        <f aca="false">Assumptions!B21</f>
        <v>0.271</v>
      </c>
      <c r="C11" s="12" t="n">
        <f aca="false">Assumptions!C21</f>
        <v>0.203</v>
      </c>
      <c r="D11" s="12" t="n">
        <f aca="false">Assumptions!D21</f>
        <v>0.179</v>
      </c>
    </row>
    <row r="13" customFormat="false" ht="45" hidden="false" customHeight="true" outlineLevel="0" collapsed="false">
      <c r="A13" s="13" t="s">
        <v>13</v>
      </c>
      <c r="B13" s="13"/>
      <c r="C13" s="13"/>
      <c r="D13" s="13"/>
    </row>
  </sheetData>
  <mergeCells count="2">
    <mergeCell ref="A1:D1"/>
    <mergeCell ref="A13:D1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</cols>
  <sheetData>
    <row r="1" customFormat="false" ht="25.5" hidden="false" customHeight="true" outlineLevel="0" collapsed="false">
      <c r="A1" s="1" t="s">
        <v>14</v>
      </c>
      <c r="B1" s="1"/>
      <c r="C1" s="1"/>
      <c r="D1" s="1"/>
      <c r="E1" s="1"/>
    </row>
    <row r="3" customFormat="false" ht="15" hidden="false" customHeight="false" outlineLevel="0" collapsed="false">
      <c r="A3" s="14" t="s">
        <v>15</v>
      </c>
      <c r="B3" s="14"/>
      <c r="C3" s="14"/>
      <c r="D3" s="14"/>
      <c r="E3" s="14"/>
    </row>
    <row r="4" customFormat="false" ht="15" hidden="false" customHeight="false" outlineLevel="0" collapsed="false">
      <c r="A4" s="0" t="s">
        <v>16</v>
      </c>
      <c r="B4" s="15" t="n">
        <v>0.0675</v>
      </c>
      <c r="C4" s="16" t="s">
        <v>17</v>
      </c>
    </row>
    <row r="5" customFormat="false" ht="15" hidden="false" customHeight="false" outlineLevel="0" collapsed="false">
      <c r="A5" s="0" t="s">
        <v>18</v>
      </c>
      <c r="B5" s="15" t="n">
        <v>0.065</v>
      </c>
      <c r="C5" s="16" t="s">
        <v>19</v>
      </c>
    </row>
    <row r="6" customFormat="false" ht="15" hidden="false" customHeight="false" outlineLevel="0" collapsed="false">
      <c r="A6" s="0" t="s">
        <v>20</v>
      </c>
      <c r="B6" s="15" t="n">
        <v>0.25</v>
      </c>
      <c r="C6" s="16" t="s">
        <v>21</v>
      </c>
    </row>
    <row r="7" customFormat="false" ht="15" hidden="false" customHeight="false" outlineLevel="0" collapsed="false">
      <c r="A7" s="0" t="s">
        <v>22</v>
      </c>
      <c r="B7" s="15" t="n">
        <v>0.075</v>
      </c>
      <c r="C7" s="16" t="s">
        <v>23</v>
      </c>
    </row>
    <row r="8" customFormat="false" ht="15" hidden="false" customHeight="false" outlineLevel="0" collapsed="false">
      <c r="A8" s="0" t="s">
        <v>24</v>
      </c>
      <c r="B8" s="17" t="n">
        <v>0.021</v>
      </c>
      <c r="C8" s="16" t="s">
        <v>25</v>
      </c>
    </row>
    <row r="9" customFormat="false" ht="15" hidden="false" customHeight="false" outlineLevel="0" collapsed="false">
      <c r="A9" s="0" t="s">
        <v>26</v>
      </c>
      <c r="B9" s="17" t="n">
        <v>0.022</v>
      </c>
    </row>
    <row r="10" customFormat="false" ht="15" hidden="false" customHeight="false" outlineLevel="0" collapsed="false">
      <c r="A10" s="0" t="s">
        <v>27</v>
      </c>
      <c r="B10" s="17" t="n">
        <v>0.08</v>
      </c>
    </row>
    <row r="11" customFormat="false" ht="15" hidden="false" customHeight="false" outlineLevel="0" collapsed="false">
      <c r="A11" s="0" t="s">
        <v>28</v>
      </c>
      <c r="B11" s="18" t="n">
        <v>0.05</v>
      </c>
      <c r="C11" s="16" t="s">
        <v>29</v>
      </c>
    </row>
    <row r="13" customFormat="false" ht="15" hidden="false" customHeight="false" outlineLevel="0" collapsed="false">
      <c r="A13" s="14" t="s">
        <v>30</v>
      </c>
      <c r="B13" s="14"/>
      <c r="C13" s="14"/>
      <c r="D13" s="14"/>
      <c r="E13" s="14"/>
    </row>
    <row r="14" customFormat="false" ht="15" hidden="false" customHeight="false" outlineLevel="0" collapsed="false">
      <c r="A14" s="2" t="s">
        <v>1</v>
      </c>
      <c r="B14" s="3" t="s">
        <v>2</v>
      </c>
      <c r="C14" s="3" t="s">
        <v>3</v>
      </c>
      <c r="D14" s="3" t="s">
        <v>4</v>
      </c>
    </row>
    <row r="15" customFormat="false" ht="15" hidden="false" customHeight="false" outlineLevel="0" collapsed="false">
      <c r="A15" s="4" t="s">
        <v>31</v>
      </c>
      <c r="B15" s="19" t="n">
        <v>2069</v>
      </c>
      <c r="C15" s="19" t="n">
        <v>1053</v>
      </c>
      <c r="D15" s="19" t="n">
        <v>1150</v>
      </c>
      <c r="E15" s="16" t="s">
        <v>32</v>
      </c>
    </row>
    <row r="16" customFormat="false" ht="15" hidden="false" customHeight="false" outlineLevel="0" collapsed="false">
      <c r="A16" s="4" t="s">
        <v>33</v>
      </c>
      <c r="B16" s="20" t="n">
        <v>361.8</v>
      </c>
      <c r="C16" s="20" t="n">
        <v>411.6</v>
      </c>
      <c r="D16" s="20" t="n">
        <v>271.4</v>
      </c>
      <c r="E16" s="16" t="s">
        <v>34</v>
      </c>
    </row>
    <row r="17" customFormat="false" ht="15" hidden="false" customHeight="false" outlineLevel="0" collapsed="false">
      <c r="A17" s="4" t="s">
        <v>35</v>
      </c>
      <c r="B17" s="21" t="n">
        <v>0.88</v>
      </c>
      <c r="C17" s="21" t="n">
        <v>0.9</v>
      </c>
      <c r="D17" s="21" t="n">
        <v>0.85</v>
      </c>
      <c r="E17" s="16" t="s">
        <v>36</v>
      </c>
    </row>
    <row r="18" customFormat="false" ht="15" hidden="false" customHeight="false" outlineLevel="0" collapsed="false">
      <c r="A18" s="4" t="s">
        <v>37</v>
      </c>
      <c r="B18" s="22" t="n">
        <v>11283</v>
      </c>
      <c r="C18" s="22" t="n">
        <v>2000</v>
      </c>
      <c r="D18" s="22" t="n">
        <v>1500</v>
      </c>
      <c r="E18" s="16" t="s">
        <v>38</v>
      </c>
    </row>
    <row r="19" customFormat="false" ht="15" hidden="false" customHeight="false" outlineLevel="0" collapsed="false">
      <c r="A19" s="4" t="s">
        <v>39</v>
      </c>
      <c r="B19" s="22" t="n">
        <v>33988</v>
      </c>
      <c r="C19" s="22" t="n">
        <v>16000</v>
      </c>
      <c r="D19" s="22" t="n">
        <v>11000</v>
      </c>
      <c r="E19" s="16" t="s">
        <v>40</v>
      </c>
    </row>
    <row r="20" customFormat="false" ht="15" hidden="false" customHeight="false" outlineLevel="0" collapsed="false">
      <c r="A20" s="4" t="s">
        <v>41</v>
      </c>
      <c r="B20" s="22" t="n">
        <v>267021</v>
      </c>
      <c r="C20" s="22" t="n">
        <v>178650</v>
      </c>
      <c r="D20" s="22" t="n">
        <v>130534</v>
      </c>
      <c r="E20" s="16" t="s">
        <v>42</v>
      </c>
    </row>
    <row r="21" customFormat="false" ht="15" hidden="false" customHeight="false" outlineLevel="0" collapsed="false">
      <c r="A21" s="4" t="s">
        <v>43</v>
      </c>
      <c r="B21" s="23" t="n">
        <v>0.271</v>
      </c>
      <c r="C21" s="23" t="n">
        <v>0.203</v>
      </c>
      <c r="D21" s="23" t="n">
        <v>0.179</v>
      </c>
      <c r="E21" s="16" t="s">
        <v>44</v>
      </c>
    </row>
    <row r="22" customFormat="false" ht="15" hidden="false" customHeight="false" outlineLevel="0" collapsed="false">
      <c r="A22" s="4" t="s">
        <v>45</v>
      </c>
      <c r="B22" s="23" t="n">
        <v>0.07</v>
      </c>
      <c r="C22" s="23" t="n">
        <v>0.08</v>
      </c>
      <c r="D22" s="23" t="n">
        <v>0.07</v>
      </c>
    </row>
    <row r="23" customFormat="false" ht="15" hidden="false" customHeight="false" outlineLevel="0" collapsed="false">
      <c r="A23" s="4" t="s">
        <v>46</v>
      </c>
      <c r="B23" s="23" t="n">
        <v>0.07</v>
      </c>
      <c r="C23" s="23" t="n">
        <v>0.075</v>
      </c>
      <c r="D23" s="23" t="n">
        <v>0.065</v>
      </c>
    </row>
    <row r="24" customFormat="false" ht="15" hidden="false" customHeight="false" outlineLevel="0" collapsed="false">
      <c r="A24" s="4" t="s">
        <v>47</v>
      </c>
      <c r="B24" s="23" t="n">
        <v>0.065</v>
      </c>
      <c r="C24" s="23" t="n">
        <v>0.07</v>
      </c>
      <c r="D24" s="23" t="n">
        <v>0.06</v>
      </c>
    </row>
    <row r="25" customFormat="false" ht="15" hidden="false" customHeight="false" outlineLevel="0" collapsed="false">
      <c r="A25" s="4" t="s">
        <v>48</v>
      </c>
      <c r="B25" s="23" t="n">
        <v>0.06</v>
      </c>
      <c r="C25" s="23" t="n">
        <v>0.065</v>
      </c>
      <c r="D25" s="23" t="n">
        <v>0.055</v>
      </c>
    </row>
    <row r="26" customFormat="false" ht="15" hidden="false" customHeight="false" outlineLevel="0" collapsed="false">
      <c r="A26" s="4" t="s">
        <v>49</v>
      </c>
      <c r="B26" s="23" t="n">
        <v>0.055</v>
      </c>
      <c r="C26" s="23" t="n">
        <v>0.06</v>
      </c>
      <c r="D26" s="23" t="n">
        <v>0.05</v>
      </c>
    </row>
    <row r="28" customFormat="false" ht="15" hidden="false" customHeight="false" outlineLevel="0" collapsed="false">
      <c r="A28" s="14" t="s">
        <v>50</v>
      </c>
      <c r="B28" s="14"/>
      <c r="C28" s="14"/>
      <c r="D28" s="14"/>
      <c r="E28" s="14"/>
    </row>
    <row r="29" customFormat="false" ht="15" hidden="false" customHeight="false" outlineLevel="0" collapsed="false">
      <c r="A29" s="2" t="s">
        <v>1</v>
      </c>
      <c r="B29" s="3" t="s">
        <v>2</v>
      </c>
      <c r="C29" s="3" t="s">
        <v>3</v>
      </c>
      <c r="D29" s="3" t="s">
        <v>4</v>
      </c>
    </row>
    <row r="30" customFormat="false" ht="15" hidden="false" customHeight="false" outlineLevel="0" collapsed="false">
      <c r="A30" s="4" t="s">
        <v>51</v>
      </c>
      <c r="B30" s="6" t="n">
        <f aca="false">B15*B16</f>
        <v>748564.2</v>
      </c>
      <c r="C30" s="6" t="n">
        <f aca="false">C15*C16</f>
        <v>433414.8</v>
      </c>
      <c r="D30" s="6" t="n">
        <f aca="false">D15*D16</f>
        <v>312110</v>
      </c>
    </row>
    <row r="31" customFormat="false" ht="15" hidden="false" customHeight="false" outlineLevel="0" collapsed="false">
      <c r="A31" s="4" t="s">
        <v>52</v>
      </c>
      <c r="B31" s="6" t="n">
        <f aca="false">B18-B19</f>
        <v>-22705</v>
      </c>
      <c r="C31" s="6" t="n">
        <f aca="false">C18-C19</f>
        <v>-14000</v>
      </c>
      <c r="D31" s="6" t="n">
        <f aca="false">D18-D19</f>
        <v>-9500</v>
      </c>
    </row>
    <row r="32" customFormat="false" ht="15" hidden="false" customHeight="false" outlineLevel="0" collapsed="false">
      <c r="A32" s="2" t="s">
        <v>53</v>
      </c>
      <c r="B32" s="24" t="n">
        <f aca="false">$B$4+B17*$B$5</f>
        <v>0.1247</v>
      </c>
      <c r="C32" s="24" t="n">
        <f aca="false">$B$4+C17*$B$5</f>
        <v>0.126</v>
      </c>
      <c r="D32" s="24" t="n">
        <f aca="false">$B$4+D17*$B$5</f>
        <v>0.12275</v>
      </c>
    </row>
    <row r="33" customFormat="false" ht="15" hidden="false" customHeight="false" outlineLevel="0" collapsed="false">
      <c r="A33" s="4" t="s">
        <v>54</v>
      </c>
      <c r="B33" s="5" t="n">
        <f aca="false">$B$7*(1-$B$6)</f>
        <v>0.05625</v>
      </c>
      <c r="C33" s="5" t="n">
        <f aca="false">$B$7*(1-$B$6)</f>
        <v>0.05625</v>
      </c>
      <c r="D33" s="5" t="n">
        <f aca="false">$B$7*(1-$B$6)</f>
        <v>0.05625</v>
      </c>
    </row>
    <row r="34" customFormat="false" ht="15" hidden="false" customHeight="false" outlineLevel="0" collapsed="false">
      <c r="A34" s="4" t="s">
        <v>55</v>
      </c>
      <c r="B34" s="5" t="n">
        <f aca="false">B30/(B30+B18)</f>
        <v>0.985150961930241</v>
      </c>
      <c r="C34" s="5" t="n">
        <f aca="false">C30/(C30+C18)</f>
        <v>0.995406678872652</v>
      </c>
      <c r="D34" s="5" t="n">
        <f aca="false">D30/(D30+D18)</f>
        <v>0.995216989254169</v>
      </c>
    </row>
    <row r="35" customFormat="false" ht="15" hidden="false" customHeight="false" outlineLevel="0" collapsed="false">
      <c r="A35" s="4" t="s">
        <v>56</v>
      </c>
      <c r="B35" s="5" t="n">
        <f aca="false">B18/(B30+B18)</f>
        <v>0.0148490380697593</v>
      </c>
      <c r="C35" s="5" t="n">
        <f aca="false">C18/(C30+C18)</f>
        <v>0.00459332112734799</v>
      </c>
      <c r="D35" s="5" t="n">
        <f aca="false">D18/(D30+D18)</f>
        <v>0.00478301074583081</v>
      </c>
    </row>
    <row r="36" customFormat="false" ht="15" hidden="false" customHeight="false" outlineLevel="0" collapsed="false">
      <c r="A36" s="7" t="s">
        <v>5</v>
      </c>
      <c r="B36" s="25" t="n">
        <f aca="false">B34*B32+B35*B33</f>
        <v>0.123683583344125</v>
      </c>
      <c r="C36" s="25" t="n">
        <f aca="false">C34*C32+C35*C33</f>
        <v>0.125679615851367</v>
      </c>
      <c r="D36" s="25" t="n">
        <f aca="false">D34*D32+D35*D33</f>
        <v>0.122431929785402</v>
      </c>
    </row>
    <row r="38" customFormat="false" ht="30" hidden="false" customHeight="true" outlineLevel="0" collapsed="false">
      <c r="A38" s="13" t="s">
        <v>57</v>
      </c>
      <c r="B38" s="13"/>
      <c r="C38" s="13"/>
      <c r="D38" s="13"/>
      <c r="E38" s="13"/>
    </row>
  </sheetData>
  <mergeCells count="5">
    <mergeCell ref="A1:E1"/>
    <mergeCell ref="A3:E3"/>
    <mergeCell ref="A13:E13"/>
    <mergeCell ref="A28:E28"/>
    <mergeCell ref="A38:E3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3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</row>
    <row r="3" customFormat="false" ht="15" hidden="false" customHeight="false" outlineLevel="0" collapsed="false">
      <c r="A3" s="14" t="s">
        <v>2</v>
      </c>
      <c r="B3" s="14"/>
      <c r="C3" s="14"/>
      <c r="D3" s="14"/>
      <c r="E3" s="14"/>
    </row>
    <row r="4" customFormat="false" ht="15" hidden="false" customHeight="false" outlineLevel="0" collapsed="false">
      <c r="A4" s="2" t="s">
        <v>1</v>
      </c>
      <c r="B4" s="26" t="s">
        <v>59</v>
      </c>
      <c r="C4" s="26" t="s">
        <v>60</v>
      </c>
      <c r="D4" s="26" t="s">
        <v>61</v>
      </c>
      <c r="E4" s="26" t="s">
        <v>62</v>
      </c>
    </row>
    <row r="5" customFormat="false" ht="15" hidden="false" customHeight="false" outlineLevel="0" collapsed="false">
      <c r="A5" s="4" t="s">
        <v>63</v>
      </c>
      <c r="B5" s="22" t="n">
        <v>225458</v>
      </c>
      <c r="C5" s="22" t="n">
        <v>240893</v>
      </c>
      <c r="D5" s="22" t="n">
        <v>255324</v>
      </c>
      <c r="E5" s="22" t="n">
        <v>267021</v>
      </c>
    </row>
    <row r="6" customFormat="false" ht="15" hidden="false" customHeight="false" outlineLevel="0" collapsed="false">
      <c r="A6" s="4" t="s">
        <v>64</v>
      </c>
      <c r="B6" s="22" t="n">
        <v>59259</v>
      </c>
      <c r="C6" s="22" t="n">
        <v>64296</v>
      </c>
      <c r="D6" s="22" t="n">
        <v>67407</v>
      </c>
      <c r="E6" s="22" t="n">
        <v>72398</v>
      </c>
    </row>
    <row r="7" customFormat="false" ht="15" hidden="false" customHeight="false" outlineLevel="0" collapsed="false">
      <c r="A7" s="4" t="s">
        <v>65</v>
      </c>
      <c r="B7" s="12" t="n">
        <f aca="false">B6/B5</f>
        <v>0.262838311348455</v>
      </c>
      <c r="C7" s="12" t="n">
        <f aca="false">C6/C5</f>
        <v>0.266906883969231</v>
      </c>
      <c r="D7" s="12" t="n">
        <f aca="false">D6/D5</f>
        <v>0.264005733891056</v>
      </c>
      <c r="E7" s="12" t="n">
        <f aca="false">E6/E5</f>
        <v>0.271132233045341</v>
      </c>
    </row>
    <row r="8" customFormat="false" ht="15" hidden="false" customHeight="false" outlineLevel="0" collapsed="false">
      <c r="A8" s="4" t="s">
        <v>66</v>
      </c>
      <c r="B8" s="22" t="n">
        <v>42303</v>
      </c>
      <c r="C8" s="22" t="n">
        <v>46099</v>
      </c>
      <c r="D8" s="22" t="n">
        <v>48797</v>
      </c>
      <c r="E8" s="22" t="n">
        <v>49454</v>
      </c>
    </row>
    <row r="9" customFormat="false" ht="15" hidden="false" customHeight="false" outlineLevel="0" collapsed="false">
      <c r="A9" s="4" t="s">
        <v>67</v>
      </c>
      <c r="C9" s="12" t="n">
        <f aca="false">C5/B5-1</f>
        <v>0.0684606445546399</v>
      </c>
      <c r="D9" s="12" t="n">
        <f aca="false">D5/C5-1</f>
        <v>0.0599062654373519</v>
      </c>
      <c r="E9" s="12" t="n">
        <f aca="false">E5/D5-1</f>
        <v>0.0458123795647882</v>
      </c>
    </row>
    <row r="11" customFormat="false" ht="15" hidden="false" customHeight="false" outlineLevel="0" collapsed="false">
      <c r="A11" s="14" t="s">
        <v>3</v>
      </c>
      <c r="B11" s="14"/>
      <c r="C11" s="14"/>
      <c r="D11" s="14"/>
      <c r="E11" s="14"/>
    </row>
    <row r="12" customFormat="false" ht="15" hidden="false" customHeight="false" outlineLevel="0" collapsed="false">
      <c r="A12" s="2" t="s">
        <v>1</v>
      </c>
      <c r="B12" s="26" t="s">
        <v>59</v>
      </c>
      <c r="C12" s="26" t="s">
        <v>60</v>
      </c>
      <c r="D12" s="26" t="s">
        <v>61</v>
      </c>
      <c r="E12" s="26" t="s">
        <v>62</v>
      </c>
    </row>
    <row r="13" customFormat="false" ht="15" hidden="false" customHeight="false" outlineLevel="0" collapsed="false">
      <c r="A13" s="4" t="s">
        <v>63</v>
      </c>
      <c r="B13" s="22" t="n">
        <v>146767</v>
      </c>
      <c r="C13" s="22" t="n">
        <v>153670</v>
      </c>
      <c r="D13" s="22" t="n">
        <v>162990</v>
      </c>
      <c r="E13" s="22" t="n">
        <v>178650</v>
      </c>
    </row>
    <row r="14" customFormat="false" ht="15" hidden="false" customHeight="false" outlineLevel="0" collapsed="false">
      <c r="A14" s="4" t="s">
        <v>64</v>
      </c>
      <c r="B14" s="22" t="n">
        <v>32157</v>
      </c>
      <c r="C14" s="22" t="n">
        <v>32754</v>
      </c>
      <c r="D14" s="22" t="n">
        <v>34424</v>
      </c>
      <c r="E14" s="22" t="n">
        <v>36254</v>
      </c>
    </row>
    <row r="15" customFormat="false" ht="15" hidden="false" customHeight="false" outlineLevel="0" collapsed="false">
      <c r="A15" s="4" t="s">
        <v>65</v>
      </c>
      <c r="B15" s="12" t="n">
        <f aca="false">B14/B13</f>
        <v>0.219102386776319</v>
      </c>
      <c r="C15" s="12" t="n">
        <f aca="false">C14/C13</f>
        <v>0.213145051083491</v>
      </c>
      <c r="D15" s="12" t="n">
        <f aca="false">D14/D13</f>
        <v>0.211203141297012</v>
      </c>
      <c r="E15" s="12" t="n">
        <f aca="false">E14/E13</f>
        <v>0.20293310943185</v>
      </c>
    </row>
    <row r="16" customFormat="false" ht="15" hidden="false" customHeight="false" outlineLevel="0" collapsed="false">
      <c r="A16" s="4" t="s">
        <v>66</v>
      </c>
      <c r="B16" s="22" t="n">
        <v>24095</v>
      </c>
      <c r="C16" s="22" t="n">
        <v>24108</v>
      </c>
      <c r="D16" s="22" t="n">
        <v>26750</v>
      </c>
      <c r="E16" s="22" t="n">
        <v>29474</v>
      </c>
    </row>
    <row r="17" customFormat="false" ht="15" hidden="false" customHeight="false" outlineLevel="0" collapsed="false">
      <c r="A17" s="4" t="s">
        <v>67</v>
      </c>
      <c r="C17" s="12" t="n">
        <f aca="false">C13/B13-1</f>
        <v>0.0470337337412361</v>
      </c>
      <c r="D17" s="12" t="n">
        <f aca="false">D13/C13-1</f>
        <v>0.0606494436129368</v>
      </c>
      <c r="E17" s="12" t="n">
        <f aca="false">E13/D13-1</f>
        <v>0.0960795140806185</v>
      </c>
    </row>
    <row r="19" customFormat="false" ht="15" hidden="false" customHeight="false" outlineLevel="0" collapsed="false">
      <c r="A19" s="14" t="s">
        <v>4</v>
      </c>
      <c r="B19" s="14"/>
      <c r="C19" s="14"/>
      <c r="D19" s="14"/>
      <c r="E19" s="14"/>
    </row>
    <row r="20" customFormat="false" ht="15" hidden="false" customHeight="false" outlineLevel="0" collapsed="false">
      <c r="A20" s="2" t="s">
        <v>1</v>
      </c>
      <c r="B20" s="26" t="s">
        <v>59</v>
      </c>
      <c r="C20" s="26" t="s">
        <v>60</v>
      </c>
      <c r="D20" s="26" t="s">
        <v>61</v>
      </c>
      <c r="E20" s="26" t="s">
        <v>62</v>
      </c>
    </row>
    <row r="21" customFormat="false" ht="15" hidden="false" customHeight="false" outlineLevel="0" collapsed="false">
      <c r="A21" s="4" t="s">
        <v>63</v>
      </c>
      <c r="B21" s="22" t="n">
        <v>101456</v>
      </c>
      <c r="C21" s="22" t="n">
        <v>109913</v>
      </c>
      <c r="D21" s="22" t="n">
        <v>117055</v>
      </c>
      <c r="E21" s="22" t="n">
        <v>130534</v>
      </c>
    </row>
    <row r="22" customFormat="false" ht="15" hidden="false" customHeight="false" outlineLevel="0" collapsed="false">
      <c r="A22" s="4" t="s">
        <v>64</v>
      </c>
      <c r="B22" s="22" t="n">
        <v>18708</v>
      </c>
      <c r="C22" s="22" t="n">
        <v>20015</v>
      </c>
      <c r="D22" s="22" t="n">
        <v>21420</v>
      </c>
      <c r="E22" s="22" t="n">
        <v>23366</v>
      </c>
    </row>
    <row r="23" customFormat="false" ht="15" hidden="false" customHeight="false" outlineLevel="0" collapsed="false">
      <c r="A23" s="4" t="s">
        <v>65</v>
      </c>
      <c r="B23" s="12" t="n">
        <f aca="false">B22/B21</f>
        <v>0.184395205803501</v>
      </c>
      <c r="C23" s="12" t="n">
        <f aca="false">C22/C21</f>
        <v>0.182098568868105</v>
      </c>
      <c r="D23" s="12" t="n">
        <f aca="false">D22/D21</f>
        <v>0.18299090171287</v>
      </c>
      <c r="E23" s="12" t="n">
        <f aca="false">E22/E21</f>
        <v>0.179003171587479</v>
      </c>
    </row>
    <row r="24" customFormat="false" ht="15" hidden="false" customHeight="false" outlineLevel="0" collapsed="false">
      <c r="A24" s="4" t="s">
        <v>66</v>
      </c>
      <c r="B24" s="22" t="n">
        <v>14846</v>
      </c>
      <c r="C24" s="22" t="n">
        <v>15132</v>
      </c>
      <c r="D24" s="22" t="n">
        <v>17390</v>
      </c>
      <c r="E24" s="22" t="n">
        <v>17361</v>
      </c>
    </row>
    <row r="25" customFormat="false" ht="15" hidden="false" customHeight="false" outlineLevel="0" collapsed="false">
      <c r="A25" s="4" t="s">
        <v>67</v>
      </c>
      <c r="C25" s="12" t="n">
        <f aca="false">C21/B21-1</f>
        <v>0.083356331808863</v>
      </c>
      <c r="D25" s="12" t="n">
        <f aca="false">D21/C21-1</f>
        <v>0.0649786649440922</v>
      </c>
      <c r="E25" s="12" t="n">
        <f aca="false">E21/D21-1</f>
        <v>0.115150997394387</v>
      </c>
    </row>
    <row r="27" customFormat="false" ht="19.4" hidden="false" customHeight="true" outlineLevel="0" collapsed="false">
      <c r="A27" s="13" t="s">
        <v>68</v>
      </c>
      <c r="B27" s="13"/>
      <c r="C27" s="13"/>
      <c r="D27" s="13"/>
      <c r="E27" s="13"/>
    </row>
  </sheetData>
  <mergeCells count="5">
    <mergeCell ref="A1:E1"/>
    <mergeCell ref="A3:E3"/>
    <mergeCell ref="A11:E11"/>
    <mergeCell ref="A19:E19"/>
    <mergeCell ref="A27:E2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25.5" hidden="false" customHeight="true" outlineLevel="0" collapsed="false">
      <c r="A1" s="1" t="s">
        <v>69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6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</row>
    <row r="5" customFormat="false" ht="15" hidden="false" customHeight="false" outlineLevel="0" collapsed="false">
      <c r="A5" s="2" t="s">
        <v>63</v>
      </c>
      <c r="B5" s="27" t="n">
        <f aca="false">Assumptions!$B$20</f>
        <v>267021</v>
      </c>
      <c r="C5" s="27" t="n">
        <f aca="false">B5*(1+Assumptions!$B$22)</f>
        <v>285712.47</v>
      </c>
      <c r="D5" s="27" t="n">
        <f aca="false">C5*(1+Assumptions!$B$23)</f>
        <v>305712.3429</v>
      </c>
      <c r="E5" s="27" t="n">
        <f aca="false">D5*(1+Assumptions!$B$24)</f>
        <v>325583.6451885</v>
      </c>
      <c r="F5" s="27" t="n">
        <f aca="false">E5*(1+Assumptions!$B$25)</f>
        <v>345118.66389981</v>
      </c>
      <c r="G5" s="27" t="n">
        <f aca="false">F5*(1+Assumptions!$B$26)</f>
        <v>364100.1904143</v>
      </c>
    </row>
    <row r="6" customFormat="false" ht="15" hidden="false" customHeight="false" outlineLevel="0" collapsed="false">
      <c r="A6" s="16" t="s">
        <v>77</v>
      </c>
      <c r="C6" s="28" t="n">
        <f aca="false">C5/B5-1</f>
        <v>0.0700000000000001</v>
      </c>
      <c r="D6" s="28" t="n">
        <f aca="false">D5/C5-1</f>
        <v>0.0700000000000001</v>
      </c>
      <c r="E6" s="28" t="n">
        <f aca="false">E5/D5-1</f>
        <v>0.065</v>
      </c>
      <c r="F6" s="28" t="n">
        <f aca="false">F5/E5-1</f>
        <v>0.0600000000000001</v>
      </c>
      <c r="G6" s="28" t="n">
        <f aca="false">G5/F5-1</f>
        <v>0.0549999999999999</v>
      </c>
    </row>
    <row r="8" customFormat="false" ht="15" hidden="false" customHeight="false" outlineLevel="0" collapsed="false">
      <c r="A8" s="2" t="s">
        <v>64</v>
      </c>
      <c r="B8" s="27" t="n">
        <f aca="false">B5*Assumptions!$B$21</f>
        <v>72362.691</v>
      </c>
      <c r="C8" s="27" t="n">
        <f aca="false">C5*Assumptions!$B$21</f>
        <v>77428.07937</v>
      </c>
      <c r="D8" s="27" t="n">
        <f aca="false">D5*Assumptions!$B$21</f>
        <v>82848.0449259</v>
      </c>
      <c r="E8" s="27" t="n">
        <f aca="false">E5*Assumptions!$B$21</f>
        <v>88233.1678460835</v>
      </c>
      <c r="F8" s="27" t="n">
        <f aca="false">F5*Assumptions!$B$21</f>
        <v>93527.1579168485</v>
      </c>
      <c r="G8" s="27" t="n">
        <f aca="false">G5*Assumptions!$B$21</f>
        <v>98671.1516022752</v>
      </c>
    </row>
    <row r="9" customFormat="false" ht="15" hidden="false" customHeight="false" outlineLevel="0" collapsed="false">
      <c r="A9" s="16" t="s">
        <v>78</v>
      </c>
      <c r="B9" s="28" t="n">
        <f aca="false">B8/B5</f>
        <v>0.271</v>
      </c>
      <c r="C9" s="28" t="n">
        <f aca="false">C8/C5</f>
        <v>0.271</v>
      </c>
      <c r="D9" s="28" t="n">
        <f aca="false">D8/D5</f>
        <v>0.271</v>
      </c>
      <c r="E9" s="28" t="n">
        <f aca="false">E8/E5</f>
        <v>0.271</v>
      </c>
      <c r="F9" s="28" t="n">
        <f aca="false">F8/F5</f>
        <v>0.271</v>
      </c>
      <c r="G9" s="28" t="n">
        <f aca="false">G8/G5</f>
        <v>0.271</v>
      </c>
    </row>
    <row r="11" customFormat="false" ht="15" hidden="false" customHeight="false" outlineLevel="0" collapsed="false">
      <c r="A11" s="4" t="s">
        <v>79</v>
      </c>
      <c r="C11" s="27" t="n">
        <f aca="false">-C8*Assumptions!$B$6</f>
        <v>-19357.0198425</v>
      </c>
      <c r="D11" s="27" t="n">
        <f aca="false">-D8*Assumptions!$B$6</f>
        <v>-20712.011231475</v>
      </c>
      <c r="E11" s="27" t="n">
        <f aca="false">-E8*Assumptions!$B$6</f>
        <v>-22058.2919615209</v>
      </c>
      <c r="F11" s="27" t="n">
        <f aca="false">-F8*Assumptions!$B$6</f>
        <v>-23381.7894792121</v>
      </c>
      <c r="G11" s="27" t="n">
        <f aca="false">-G8*Assumptions!$B$6</f>
        <v>-24667.7879005688</v>
      </c>
    </row>
    <row r="12" customFormat="false" ht="15" hidden="false" customHeight="false" outlineLevel="0" collapsed="false">
      <c r="A12" s="2" t="s">
        <v>80</v>
      </c>
      <c r="C12" s="29" t="n">
        <f aca="false">C8+C11</f>
        <v>58071.0595275</v>
      </c>
      <c r="D12" s="29" t="n">
        <f aca="false">D8+D11</f>
        <v>62136.033694425</v>
      </c>
      <c r="E12" s="29" t="n">
        <f aca="false">E8+E11</f>
        <v>66174.8758845626</v>
      </c>
      <c r="F12" s="29" t="n">
        <f aca="false">F8+F11</f>
        <v>70145.3684376364</v>
      </c>
      <c r="G12" s="29" t="n">
        <f aca="false">G8+G11</f>
        <v>74003.3637017064</v>
      </c>
    </row>
    <row r="14" customFormat="false" ht="15" hidden="false" customHeight="false" outlineLevel="0" collapsed="false">
      <c r="A14" s="4" t="s">
        <v>81</v>
      </c>
      <c r="C14" s="27" t="n">
        <f aca="false">C5*Assumptions!$B$8</f>
        <v>5999.96187</v>
      </c>
      <c r="D14" s="27" t="n">
        <f aca="false">D5*Assumptions!$B$8</f>
        <v>6419.9592009</v>
      </c>
      <c r="E14" s="27" t="n">
        <f aca="false">E5*Assumptions!$B$8</f>
        <v>6837.2565489585</v>
      </c>
      <c r="F14" s="27" t="n">
        <f aca="false">F5*Assumptions!$B$8</f>
        <v>7247.49194189601</v>
      </c>
      <c r="G14" s="27" t="n">
        <f aca="false">G5*Assumptions!$B$8</f>
        <v>7646.10399870029</v>
      </c>
    </row>
    <row r="15" customFormat="false" ht="15" hidden="false" customHeight="false" outlineLevel="0" collapsed="false">
      <c r="A15" s="4" t="s">
        <v>82</v>
      </c>
      <c r="C15" s="27" t="n">
        <f aca="false">-C5*Assumptions!$B$9</f>
        <v>-6285.67434</v>
      </c>
      <c r="D15" s="27" t="n">
        <f aca="false">-D5*Assumptions!$B$9</f>
        <v>-6725.6715438</v>
      </c>
      <c r="E15" s="27" t="n">
        <f aca="false">-E5*Assumptions!$B$9</f>
        <v>-7162.840194147</v>
      </c>
      <c r="F15" s="27" t="n">
        <f aca="false">-F5*Assumptions!$B$9</f>
        <v>-7592.61060579582</v>
      </c>
      <c r="G15" s="27" t="n">
        <f aca="false">-G5*Assumptions!$B$9</f>
        <v>-8010.20418911459</v>
      </c>
    </row>
    <row r="16" customFormat="false" ht="15" hidden="false" customHeight="false" outlineLevel="0" collapsed="false">
      <c r="A16" s="4" t="s">
        <v>83</v>
      </c>
      <c r="C16" s="27" t="n">
        <f aca="false">-(C5-B5)*Assumptions!$B$10</f>
        <v>-1495.3176</v>
      </c>
      <c r="D16" s="27" t="n">
        <f aca="false">-(D5-C5)*Assumptions!$B$10</f>
        <v>-1599.989832</v>
      </c>
      <c r="E16" s="27" t="n">
        <f aca="false">-(E5-D5)*Assumptions!$B$10</f>
        <v>-1589.70418308</v>
      </c>
      <c r="F16" s="27" t="n">
        <f aca="false">-(F5-E5)*Assumptions!$B$10</f>
        <v>-1562.8014969048</v>
      </c>
      <c r="G16" s="27" t="n">
        <f aca="false">-(G5-F5)*Assumptions!$B$10</f>
        <v>-1518.52212115916</v>
      </c>
    </row>
    <row r="18" customFormat="false" ht="15" hidden="false" customHeight="false" outlineLevel="0" collapsed="false">
      <c r="A18" s="2" t="s">
        <v>84</v>
      </c>
      <c r="C18" s="30" t="n">
        <f aca="false">C12+C14+C15+C16</f>
        <v>56290.0294575</v>
      </c>
      <c r="D18" s="30" t="n">
        <f aca="false">D12+D14+D15+D16</f>
        <v>60230.331519525</v>
      </c>
      <c r="E18" s="30" t="n">
        <f aca="false">E12+E14+E15+E16</f>
        <v>64259.5880562941</v>
      </c>
      <c r="F18" s="30" t="n">
        <f aca="false">F12+F14+F15+F16</f>
        <v>68237.4482768318</v>
      </c>
      <c r="G18" s="30" t="n">
        <f aca="false">G12+G14+G15+G16</f>
        <v>72120.7413901329</v>
      </c>
    </row>
    <row r="20" customFormat="false" ht="15" hidden="false" customHeight="false" outlineLevel="0" collapsed="false">
      <c r="A20" s="16" t="s">
        <v>85</v>
      </c>
      <c r="C20" s="31" t="n">
        <v>1</v>
      </c>
      <c r="D20" s="31" t="n">
        <v>2</v>
      </c>
      <c r="E20" s="31" t="n">
        <v>3</v>
      </c>
      <c r="F20" s="31" t="n">
        <v>4</v>
      </c>
      <c r="G20" s="31" t="n">
        <v>5</v>
      </c>
    </row>
    <row r="21" customFormat="false" ht="15" hidden="false" customHeight="false" outlineLevel="0" collapsed="false">
      <c r="A21" s="16" t="s">
        <v>86</v>
      </c>
      <c r="C21" s="32" t="n">
        <f aca="false">1/(1+Assumptions!$B$36)^C20</f>
        <v>0.889930239101618</v>
      </c>
      <c r="D21" s="32" t="n">
        <f aca="false">1/(1+Assumptions!$B$36)^D20</f>
        <v>0.791975830467463</v>
      </c>
      <c r="E21" s="32" t="n">
        <f aca="false">1/(1+Assumptions!$B$36)^E20</f>
        <v>0.704803240170612</v>
      </c>
      <c r="F21" s="32" t="n">
        <f aca="false">1/(1+Assumptions!$B$36)^F20</f>
        <v>0.627225716044628</v>
      </c>
      <c r="G21" s="32" t="n">
        <f aca="false">1/(1+Assumptions!$B$36)^G20</f>
        <v>0.558187131450279</v>
      </c>
    </row>
    <row r="22" customFormat="false" ht="15" hidden="false" customHeight="false" outlineLevel="0" collapsed="false">
      <c r="A22" s="4" t="s">
        <v>87</v>
      </c>
      <c r="C22" s="27" t="n">
        <f aca="false">C18*C21</f>
        <v>50094.1993741501</v>
      </c>
      <c r="D22" s="27" t="n">
        <f aca="false">D18*D21</f>
        <v>47700.9668245064</v>
      </c>
      <c r="E22" s="27" t="n">
        <f aca="false">E18*E21</f>
        <v>45290.3658741048</v>
      </c>
      <c r="F22" s="27" t="n">
        <f aca="false">F18*F21</f>
        <v>42800.2823564941</v>
      </c>
      <c r="G22" s="27" t="n">
        <f aca="false">G18*G21</f>
        <v>40256.8697546257</v>
      </c>
    </row>
    <row r="25" customFormat="false" ht="15" hidden="false" customHeight="false" outlineLevel="0" collapsed="false">
      <c r="A25" s="14" t="s">
        <v>88</v>
      </c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4" t="s">
        <v>89</v>
      </c>
      <c r="B26" s="27" t="n">
        <f aca="false">SUM(C22:G22)</f>
        <v>226142.684183881</v>
      </c>
    </row>
    <row r="27" customFormat="false" ht="15" hidden="false" customHeight="false" outlineLevel="0" collapsed="false">
      <c r="A27" s="4" t="s">
        <v>90</v>
      </c>
      <c r="B27" s="27" t="n">
        <f aca="false">G18*(1+Assumptions!$B$11)/(Assumptions!$B$36-Assumptions!$B$11)</f>
        <v>1027729.3125929</v>
      </c>
    </row>
    <row r="28" customFormat="false" ht="15" hidden="false" customHeight="false" outlineLevel="0" collapsed="false">
      <c r="A28" s="4" t="s">
        <v>91</v>
      </c>
      <c r="B28" s="27" t="n">
        <f aca="false">B27*G21</f>
        <v>573665.276903601</v>
      </c>
    </row>
    <row r="29" customFormat="false" ht="15" hidden="false" customHeight="false" outlineLevel="0" collapsed="false">
      <c r="A29" s="2" t="s">
        <v>92</v>
      </c>
      <c r="B29" s="29" t="n">
        <f aca="false">B26+B28</f>
        <v>799807.961087482</v>
      </c>
    </row>
    <row r="30" customFormat="false" ht="15" hidden="false" customHeight="false" outlineLevel="0" collapsed="false">
      <c r="A30" s="4" t="s">
        <v>93</v>
      </c>
      <c r="B30" s="33" t="n">
        <f aca="false">Assumptions!$B$31</f>
        <v>-22705</v>
      </c>
    </row>
    <row r="31" customFormat="false" ht="15" hidden="false" customHeight="false" outlineLevel="0" collapsed="false">
      <c r="A31" s="2" t="s">
        <v>94</v>
      </c>
      <c r="B31" s="29" t="n">
        <f aca="false">B29-B30</f>
        <v>822512.961087482</v>
      </c>
    </row>
    <row r="32" customFormat="false" ht="15" hidden="false" customHeight="false" outlineLevel="0" collapsed="false">
      <c r="A32" s="4" t="s">
        <v>33</v>
      </c>
      <c r="B32" s="34" t="n">
        <f aca="false">Assumptions!$B$16</f>
        <v>361.8</v>
      </c>
    </row>
    <row r="33" customFormat="false" ht="15" hidden="false" customHeight="false" outlineLevel="0" collapsed="false">
      <c r="A33" s="7" t="s">
        <v>8</v>
      </c>
      <c r="B33" s="35" t="n">
        <f aca="false">B31/B32</f>
        <v>2273.39126889851</v>
      </c>
    </row>
    <row r="34" customFormat="false" ht="15" hidden="false" customHeight="false" outlineLevel="0" collapsed="false">
      <c r="A34" s="4" t="s">
        <v>9</v>
      </c>
      <c r="B34" s="36" t="n">
        <f aca="false">Assumptions!$B$15</f>
        <v>2069</v>
      </c>
    </row>
    <row r="35" customFormat="false" ht="15" hidden="false" customHeight="false" outlineLevel="0" collapsed="false">
      <c r="A35" s="2" t="s">
        <v>10</v>
      </c>
      <c r="B35" s="37" t="n">
        <f aca="false">B33/B34-1</f>
        <v>0.0987874668431668</v>
      </c>
    </row>
  </sheetData>
  <mergeCells count="2">
    <mergeCell ref="A1:G1"/>
    <mergeCell ref="A25:G2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25.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6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</row>
    <row r="5" customFormat="false" ht="15" hidden="false" customHeight="false" outlineLevel="0" collapsed="false">
      <c r="A5" s="2" t="s">
        <v>63</v>
      </c>
      <c r="B5" s="27" t="n">
        <f aca="false">Assumptions!$C$20</f>
        <v>178650</v>
      </c>
      <c r="C5" s="27" t="n">
        <f aca="false">B5*(1+Assumptions!$C$22)</f>
        <v>192942</v>
      </c>
      <c r="D5" s="27" t="n">
        <f aca="false">C5*(1+Assumptions!$C$23)</f>
        <v>207412.65</v>
      </c>
      <c r="E5" s="27" t="n">
        <f aca="false">D5*(1+Assumptions!$C$24)</f>
        <v>221931.5355</v>
      </c>
      <c r="F5" s="27" t="n">
        <f aca="false">E5*(1+Assumptions!$C$25)</f>
        <v>236357.0853075</v>
      </c>
      <c r="G5" s="27" t="n">
        <f aca="false">F5*(1+Assumptions!$C$26)</f>
        <v>250538.51042595</v>
      </c>
    </row>
    <row r="6" customFormat="false" ht="15" hidden="false" customHeight="false" outlineLevel="0" collapsed="false">
      <c r="A6" s="16" t="s">
        <v>77</v>
      </c>
      <c r="C6" s="28" t="n">
        <f aca="false">C5/B5-1</f>
        <v>0.0800000000000001</v>
      </c>
      <c r="D6" s="28" t="n">
        <f aca="false">D5/C5-1</f>
        <v>0.075</v>
      </c>
      <c r="E6" s="28" t="n">
        <f aca="false">E5/D5-1</f>
        <v>0.0700000000000001</v>
      </c>
      <c r="F6" s="28" t="n">
        <f aca="false">F5/E5-1</f>
        <v>0.065</v>
      </c>
      <c r="G6" s="28" t="n">
        <f aca="false">G5/F5-1</f>
        <v>0.0600000000000001</v>
      </c>
    </row>
    <row r="8" customFormat="false" ht="15" hidden="false" customHeight="false" outlineLevel="0" collapsed="false">
      <c r="A8" s="2" t="s">
        <v>64</v>
      </c>
      <c r="B8" s="27" t="n">
        <f aca="false">B5*Assumptions!$C$21</f>
        <v>36265.95</v>
      </c>
      <c r="C8" s="27" t="n">
        <f aca="false">C5*Assumptions!$C$21</f>
        <v>39167.226</v>
      </c>
      <c r="D8" s="27" t="n">
        <f aca="false">D5*Assumptions!$C$21</f>
        <v>42104.76795</v>
      </c>
      <c r="E8" s="27" t="n">
        <f aca="false">E5*Assumptions!$C$21</f>
        <v>45052.1017065</v>
      </c>
      <c r="F8" s="27" t="n">
        <f aca="false">F5*Assumptions!$C$21</f>
        <v>47980.4883174225</v>
      </c>
      <c r="G8" s="27" t="n">
        <f aca="false">G5*Assumptions!$C$21</f>
        <v>50859.3176164679</v>
      </c>
    </row>
    <row r="9" customFormat="false" ht="15" hidden="false" customHeight="false" outlineLevel="0" collapsed="false">
      <c r="A9" s="16" t="s">
        <v>78</v>
      </c>
      <c r="B9" s="28" t="n">
        <f aca="false">B8/B5</f>
        <v>0.203</v>
      </c>
      <c r="C9" s="28" t="n">
        <f aca="false">C8/C5</f>
        <v>0.203</v>
      </c>
      <c r="D9" s="28" t="n">
        <f aca="false">D8/D5</f>
        <v>0.203</v>
      </c>
      <c r="E9" s="28" t="n">
        <f aca="false">E8/E5</f>
        <v>0.203</v>
      </c>
      <c r="F9" s="28" t="n">
        <f aca="false">F8/F5</f>
        <v>0.203</v>
      </c>
      <c r="G9" s="28" t="n">
        <f aca="false">G8/G5</f>
        <v>0.203</v>
      </c>
    </row>
    <row r="11" customFormat="false" ht="15" hidden="false" customHeight="false" outlineLevel="0" collapsed="false">
      <c r="A11" s="4" t="s">
        <v>79</v>
      </c>
      <c r="C11" s="27" t="n">
        <f aca="false">-C8*Assumptions!$B$6</f>
        <v>-9791.8065</v>
      </c>
      <c r="D11" s="27" t="n">
        <f aca="false">-D8*Assumptions!$B$6</f>
        <v>-10526.1919875</v>
      </c>
      <c r="E11" s="27" t="n">
        <f aca="false">-E8*Assumptions!$B$6</f>
        <v>-11263.025426625</v>
      </c>
      <c r="F11" s="27" t="n">
        <f aca="false">-F8*Assumptions!$B$6</f>
        <v>-11995.1220793556</v>
      </c>
      <c r="G11" s="27" t="n">
        <f aca="false">-G8*Assumptions!$B$6</f>
        <v>-12714.829404117</v>
      </c>
    </row>
    <row r="12" customFormat="false" ht="15" hidden="false" customHeight="false" outlineLevel="0" collapsed="false">
      <c r="A12" s="2" t="s">
        <v>80</v>
      </c>
      <c r="C12" s="29" t="n">
        <f aca="false">C8+C11</f>
        <v>29375.4195</v>
      </c>
      <c r="D12" s="29" t="n">
        <f aca="false">D8+D11</f>
        <v>31578.5759625</v>
      </c>
      <c r="E12" s="29" t="n">
        <f aca="false">E8+E11</f>
        <v>33789.076279875</v>
      </c>
      <c r="F12" s="29" t="n">
        <f aca="false">F8+F11</f>
        <v>35985.3662380669</v>
      </c>
      <c r="G12" s="29" t="n">
        <f aca="false">G8+G11</f>
        <v>38144.4882123509</v>
      </c>
    </row>
    <row r="14" customFormat="false" ht="15" hidden="false" customHeight="false" outlineLevel="0" collapsed="false">
      <c r="A14" s="4" t="s">
        <v>81</v>
      </c>
      <c r="C14" s="27" t="n">
        <f aca="false">C5*Assumptions!$B$8</f>
        <v>4051.782</v>
      </c>
      <c r="D14" s="27" t="n">
        <f aca="false">D5*Assumptions!$B$8</f>
        <v>4355.66565</v>
      </c>
      <c r="E14" s="27" t="n">
        <f aca="false">E5*Assumptions!$B$8</f>
        <v>4660.5622455</v>
      </c>
      <c r="F14" s="27" t="n">
        <f aca="false">F5*Assumptions!$B$8</f>
        <v>4963.4987914575</v>
      </c>
      <c r="G14" s="27" t="n">
        <f aca="false">G5*Assumptions!$B$8</f>
        <v>5261.30871894495</v>
      </c>
    </row>
    <row r="15" customFormat="false" ht="15" hidden="false" customHeight="false" outlineLevel="0" collapsed="false">
      <c r="A15" s="4" t="s">
        <v>82</v>
      </c>
      <c r="C15" s="27" t="n">
        <f aca="false">-C5*Assumptions!$B$9</f>
        <v>-4244.724</v>
      </c>
      <c r="D15" s="27" t="n">
        <f aca="false">-D5*Assumptions!$B$9</f>
        <v>-4563.0783</v>
      </c>
      <c r="E15" s="27" t="n">
        <f aca="false">-E5*Assumptions!$B$9</f>
        <v>-4882.493781</v>
      </c>
      <c r="F15" s="27" t="n">
        <f aca="false">-F5*Assumptions!$B$9</f>
        <v>-5199.855876765</v>
      </c>
      <c r="G15" s="27" t="n">
        <f aca="false">-G5*Assumptions!$B$9</f>
        <v>-5511.8472293709</v>
      </c>
    </row>
    <row r="16" customFormat="false" ht="15" hidden="false" customHeight="false" outlineLevel="0" collapsed="false">
      <c r="A16" s="4" t="s">
        <v>83</v>
      </c>
      <c r="C16" s="27" t="n">
        <f aca="false">-(C5-B5)*Assumptions!$B$10</f>
        <v>-1143.36</v>
      </c>
      <c r="D16" s="27" t="n">
        <f aca="false">-(D5-C5)*Assumptions!$B$10</f>
        <v>-1157.652</v>
      </c>
      <c r="E16" s="27" t="n">
        <f aca="false">-(E5-D5)*Assumptions!$B$10</f>
        <v>-1161.51084</v>
      </c>
      <c r="F16" s="27" t="n">
        <f aca="false">-(F5-E5)*Assumptions!$B$10</f>
        <v>-1154.0439846</v>
      </c>
      <c r="G16" s="27" t="n">
        <f aca="false">-(G5-F5)*Assumptions!$B$10</f>
        <v>-1134.514009476</v>
      </c>
    </row>
    <row r="18" customFormat="false" ht="15" hidden="false" customHeight="false" outlineLevel="0" collapsed="false">
      <c r="A18" s="2" t="s">
        <v>84</v>
      </c>
      <c r="C18" s="30" t="n">
        <f aca="false">C12+C14+C15+C16</f>
        <v>28039.1175</v>
      </c>
      <c r="D18" s="30" t="n">
        <f aca="false">D12+D14+D15+D16</f>
        <v>30213.5113125</v>
      </c>
      <c r="E18" s="30" t="n">
        <f aca="false">E12+E14+E15+E16</f>
        <v>32405.633904375</v>
      </c>
      <c r="F18" s="30" t="n">
        <f aca="false">F12+F14+F15+F16</f>
        <v>34594.9651681594</v>
      </c>
      <c r="G18" s="30" t="n">
        <f aca="false">G12+G14+G15+G16</f>
        <v>36759.4356924489</v>
      </c>
    </row>
    <row r="20" customFormat="false" ht="15" hidden="false" customHeight="false" outlineLevel="0" collapsed="false">
      <c r="A20" s="16" t="s">
        <v>85</v>
      </c>
      <c r="C20" s="31" t="n">
        <v>1</v>
      </c>
      <c r="D20" s="31" t="n">
        <v>2</v>
      </c>
      <c r="E20" s="31" t="n">
        <v>3</v>
      </c>
      <c r="F20" s="31" t="n">
        <v>4</v>
      </c>
      <c r="G20" s="31" t="n">
        <v>5</v>
      </c>
    </row>
    <row r="21" customFormat="false" ht="15" hidden="false" customHeight="false" outlineLevel="0" collapsed="false">
      <c r="A21" s="16" t="s">
        <v>86</v>
      </c>
      <c r="C21" s="32" t="n">
        <f aca="false">1/(1+Assumptions!$C$36)^C20</f>
        <v>0.888352232658744</v>
      </c>
      <c r="D21" s="32" t="n">
        <f aca="false">1/(1+Assumptions!$C$36)^D20</f>
        <v>0.789169689269776</v>
      </c>
      <c r="E21" s="32" t="n">
        <f aca="false">1/(1+Assumptions!$C$36)^E20</f>
        <v>0.701060655409413</v>
      </c>
      <c r="F21" s="32" t="n">
        <f aca="false">1/(1+Assumptions!$C$36)^F20</f>
        <v>0.622788798462155</v>
      </c>
      <c r="G21" s="32" t="n">
        <f aca="false">1/(1+Assumptions!$C$36)^G20</f>
        <v>0.553255819588712</v>
      </c>
    </row>
    <row r="22" customFormat="false" ht="15" hidden="false" customHeight="false" outlineLevel="0" collapsed="false">
      <c r="A22" s="4" t="s">
        <v>87</v>
      </c>
      <c r="C22" s="27" t="n">
        <f aca="false">C18*C21</f>
        <v>24908.6126329059</v>
      </c>
      <c r="D22" s="27" t="n">
        <f aca="false">D18*D21</f>
        <v>23843.5873342345</v>
      </c>
      <c r="E22" s="27" t="n">
        <f aca="false">E18*E21</f>
        <v>22718.3149439586</v>
      </c>
      <c r="F22" s="27" t="n">
        <f aca="false">F18*F21</f>
        <v>21545.3567899181</v>
      </c>
      <c r="G22" s="27" t="n">
        <f aca="false">G18*G21</f>
        <v>20337.3717216444</v>
      </c>
    </row>
    <row r="25" customFormat="false" ht="15" hidden="false" customHeight="false" outlineLevel="0" collapsed="false">
      <c r="A25" s="14" t="s">
        <v>88</v>
      </c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4" t="s">
        <v>89</v>
      </c>
      <c r="B26" s="27" t="n">
        <f aca="false">SUM(C22:G22)</f>
        <v>113353.243422661</v>
      </c>
    </row>
    <row r="27" customFormat="false" ht="15" hidden="false" customHeight="false" outlineLevel="0" collapsed="false">
      <c r="A27" s="4" t="s">
        <v>90</v>
      </c>
      <c r="B27" s="27" t="n">
        <f aca="false">G18*(1+Assumptions!$B$11)/(Assumptions!$C$36-Assumptions!$B$11)</f>
        <v>510010.615710254</v>
      </c>
    </row>
    <row r="28" customFormat="false" ht="15" hidden="false" customHeight="false" outlineLevel="0" collapsed="false">
      <c r="A28" s="4" t="s">
        <v>91</v>
      </c>
      <c r="B28" s="27" t="n">
        <f aca="false">B27*G21</f>
        <v>282166.34119372</v>
      </c>
    </row>
    <row r="29" customFormat="false" ht="15" hidden="false" customHeight="false" outlineLevel="0" collapsed="false">
      <c r="A29" s="2" t="s">
        <v>92</v>
      </c>
      <c r="B29" s="29" t="n">
        <f aca="false">B26+B28</f>
        <v>395519.584616381</v>
      </c>
    </row>
    <row r="30" customFormat="false" ht="15" hidden="false" customHeight="false" outlineLevel="0" collapsed="false">
      <c r="A30" s="4" t="s">
        <v>93</v>
      </c>
      <c r="B30" s="33" t="n">
        <f aca="false">Assumptions!$C$31</f>
        <v>-14000</v>
      </c>
    </row>
    <row r="31" customFormat="false" ht="15" hidden="false" customHeight="false" outlineLevel="0" collapsed="false">
      <c r="A31" s="2" t="s">
        <v>94</v>
      </c>
      <c r="B31" s="29" t="n">
        <f aca="false">B29-B30</f>
        <v>409519.584616381</v>
      </c>
    </row>
    <row r="32" customFormat="false" ht="15" hidden="false" customHeight="false" outlineLevel="0" collapsed="false">
      <c r="A32" s="4" t="s">
        <v>33</v>
      </c>
      <c r="B32" s="34" t="n">
        <f aca="false">Assumptions!$C$16</f>
        <v>411.6</v>
      </c>
    </row>
    <row r="33" customFormat="false" ht="15" hidden="false" customHeight="false" outlineLevel="0" collapsed="false">
      <c r="A33" s="7" t="s">
        <v>8</v>
      </c>
      <c r="B33" s="35" t="n">
        <f aca="false">B31/B32</f>
        <v>994.945540856125</v>
      </c>
    </row>
    <row r="34" customFormat="false" ht="15" hidden="false" customHeight="false" outlineLevel="0" collapsed="false">
      <c r="A34" s="4" t="s">
        <v>9</v>
      </c>
      <c r="B34" s="36" t="n">
        <f aca="false">Assumptions!$C$15</f>
        <v>1053</v>
      </c>
    </row>
    <row r="35" customFormat="false" ht="15" hidden="false" customHeight="false" outlineLevel="0" collapsed="false">
      <c r="A35" s="2" t="s">
        <v>10</v>
      </c>
      <c r="B35" s="37" t="n">
        <f aca="false">B33/B34-1</f>
        <v>-0.0551324398327394</v>
      </c>
    </row>
  </sheetData>
  <mergeCells count="2">
    <mergeCell ref="A1:G1"/>
    <mergeCell ref="A25:G2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25.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6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</row>
    <row r="5" customFormat="false" ht="15" hidden="false" customHeight="false" outlineLevel="0" collapsed="false">
      <c r="A5" s="2" t="s">
        <v>63</v>
      </c>
      <c r="B5" s="27" t="n">
        <f aca="false">Assumptions!$D$20</f>
        <v>130534</v>
      </c>
      <c r="C5" s="27" t="n">
        <f aca="false">B5*(1+Assumptions!$D$22)</f>
        <v>139671.38</v>
      </c>
      <c r="D5" s="27" t="n">
        <f aca="false">C5*(1+Assumptions!$D$23)</f>
        <v>148750.0197</v>
      </c>
      <c r="E5" s="27" t="n">
        <f aca="false">D5*(1+Assumptions!$D$24)</f>
        <v>157675.020882</v>
      </c>
      <c r="F5" s="27" t="n">
        <f aca="false">E5*(1+Assumptions!$D$25)</f>
        <v>166347.14703051</v>
      </c>
      <c r="G5" s="27" t="n">
        <f aca="false">F5*(1+Assumptions!$D$26)</f>
        <v>174664.504382036</v>
      </c>
    </row>
    <row r="6" customFormat="false" ht="15" hidden="false" customHeight="false" outlineLevel="0" collapsed="false">
      <c r="A6" s="16" t="s">
        <v>77</v>
      </c>
      <c r="C6" s="28" t="n">
        <f aca="false">C5/B5-1</f>
        <v>0.0700000000000001</v>
      </c>
      <c r="D6" s="28" t="n">
        <f aca="false">D5/C5-1</f>
        <v>0.065</v>
      </c>
      <c r="E6" s="28" t="n">
        <f aca="false">E5/D5-1</f>
        <v>0.0600000000000001</v>
      </c>
      <c r="F6" s="28" t="n">
        <f aca="false">F5/E5-1</f>
        <v>0.0549999999999999</v>
      </c>
      <c r="G6" s="28" t="n">
        <f aca="false">G5/F5-1</f>
        <v>0.05</v>
      </c>
    </row>
    <row r="8" customFormat="false" ht="15" hidden="false" customHeight="false" outlineLevel="0" collapsed="false">
      <c r="A8" s="2" t="s">
        <v>64</v>
      </c>
      <c r="B8" s="27" t="n">
        <f aca="false">B5*Assumptions!$D$21</f>
        <v>23365.586</v>
      </c>
      <c r="C8" s="27" t="n">
        <f aca="false">C5*Assumptions!$D$21</f>
        <v>25001.17702</v>
      </c>
      <c r="D8" s="27" t="n">
        <f aca="false">D5*Assumptions!$D$21</f>
        <v>26626.2535263</v>
      </c>
      <c r="E8" s="27" t="n">
        <f aca="false">E5*Assumptions!$D$21</f>
        <v>28223.828737878</v>
      </c>
      <c r="F8" s="27" t="n">
        <f aca="false">F5*Assumptions!$D$21</f>
        <v>29776.1393184613</v>
      </c>
      <c r="G8" s="27" t="n">
        <f aca="false">G5*Assumptions!$D$21</f>
        <v>31264.9462843844</v>
      </c>
    </row>
    <row r="9" customFormat="false" ht="15" hidden="false" customHeight="false" outlineLevel="0" collapsed="false">
      <c r="A9" s="16" t="s">
        <v>78</v>
      </c>
      <c r="B9" s="28" t="n">
        <f aca="false">B8/B5</f>
        <v>0.179</v>
      </c>
      <c r="C9" s="28" t="n">
        <f aca="false">C8/C5</f>
        <v>0.179</v>
      </c>
      <c r="D9" s="28" t="n">
        <f aca="false">D8/D5</f>
        <v>0.179</v>
      </c>
      <c r="E9" s="28" t="n">
        <f aca="false">E8/E5</f>
        <v>0.179</v>
      </c>
      <c r="F9" s="28" t="n">
        <f aca="false">F8/F5</f>
        <v>0.179</v>
      </c>
      <c r="G9" s="28" t="n">
        <f aca="false">G8/G5</f>
        <v>0.179</v>
      </c>
    </row>
    <row r="11" customFormat="false" ht="15" hidden="false" customHeight="false" outlineLevel="0" collapsed="false">
      <c r="A11" s="4" t="s">
        <v>79</v>
      </c>
      <c r="C11" s="27" t="n">
        <f aca="false">-C8*Assumptions!$B$6</f>
        <v>-6250.294255</v>
      </c>
      <c r="D11" s="27" t="n">
        <f aca="false">-D8*Assumptions!$B$6</f>
        <v>-6656.563381575</v>
      </c>
      <c r="E11" s="27" t="n">
        <f aca="false">-E8*Assumptions!$B$6</f>
        <v>-7055.9571844695</v>
      </c>
      <c r="F11" s="27" t="n">
        <f aca="false">-F8*Assumptions!$B$6</f>
        <v>-7444.03482961532</v>
      </c>
      <c r="G11" s="27" t="n">
        <f aca="false">-G8*Assumptions!$B$6</f>
        <v>-7816.23657109609</v>
      </c>
    </row>
    <row r="12" customFormat="false" ht="15" hidden="false" customHeight="false" outlineLevel="0" collapsed="false">
      <c r="A12" s="2" t="s">
        <v>80</v>
      </c>
      <c r="C12" s="29" t="n">
        <f aca="false">C8+C11</f>
        <v>18750.882765</v>
      </c>
      <c r="D12" s="29" t="n">
        <f aca="false">D8+D11</f>
        <v>19969.690144725</v>
      </c>
      <c r="E12" s="29" t="n">
        <f aca="false">E8+E11</f>
        <v>21167.8715534085</v>
      </c>
      <c r="F12" s="29" t="n">
        <f aca="false">F8+F11</f>
        <v>22332.104488846</v>
      </c>
      <c r="G12" s="29" t="n">
        <f aca="false">G8+G11</f>
        <v>23448.7097132883</v>
      </c>
    </row>
    <row r="14" customFormat="false" ht="15" hidden="false" customHeight="false" outlineLevel="0" collapsed="false">
      <c r="A14" s="4" t="s">
        <v>81</v>
      </c>
      <c r="C14" s="27" t="n">
        <f aca="false">C5*Assumptions!$B$8</f>
        <v>2933.09898</v>
      </c>
      <c r="D14" s="27" t="n">
        <f aca="false">D5*Assumptions!$B$8</f>
        <v>3123.7504137</v>
      </c>
      <c r="E14" s="27" t="n">
        <f aca="false">E5*Assumptions!$B$8</f>
        <v>3311.175438522</v>
      </c>
      <c r="F14" s="27" t="n">
        <f aca="false">F5*Assumptions!$B$8</f>
        <v>3493.29008764071</v>
      </c>
      <c r="G14" s="27" t="n">
        <f aca="false">G5*Assumptions!$B$8</f>
        <v>3667.95459202275</v>
      </c>
    </row>
    <row r="15" customFormat="false" ht="15" hidden="false" customHeight="false" outlineLevel="0" collapsed="false">
      <c r="A15" s="4" t="s">
        <v>82</v>
      </c>
      <c r="C15" s="27" t="n">
        <f aca="false">-C5*Assumptions!$B$9</f>
        <v>-3072.77036</v>
      </c>
      <c r="D15" s="27" t="n">
        <f aca="false">-D5*Assumptions!$B$9</f>
        <v>-3272.5004334</v>
      </c>
      <c r="E15" s="27" t="n">
        <f aca="false">-E5*Assumptions!$B$9</f>
        <v>-3468.850459404</v>
      </c>
      <c r="F15" s="27" t="n">
        <f aca="false">-F5*Assumptions!$B$9</f>
        <v>-3659.63723467122</v>
      </c>
      <c r="G15" s="27" t="n">
        <f aca="false">-G5*Assumptions!$B$9</f>
        <v>-3842.61909640478</v>
      </c>
    </row>
    <row r="16" customFormat="false" ht="15" hidden="false" customHeight="false" outlineLevel="0" collapsed="false">
      <c r="A16" s="4" t="s">
        <v>83</v>
      </c>
      <c r="C16" s="27" t="n">
        <f aca="false">-(C5-B5)*Assumptions!$B$10</f>
        <v>-730.9904</v>
      </c>
      <c r="D16" s="27" t="n">
        <f aca="false">-(D5-C5)*Assumptions!$B$10</f>
        <v>-726.291176</v>
      </c>
      <c r="E16" s="27" t="n">
        <f aca="false">-(E5-D5)*Assumptions!$B$10</f>
        <v>-714.000094560001</v>
      </c>
      <c r="F16" s="27" t="n">
        <f aca="false">-(F5-E5)*Assumptions!$B$10</f>
        <v>-693.7700918808</v>
      </c>
      <c r="G16" s="27" t="n">
        <f aca="false">-(G5-F5)*Assumptions!$B$10</f>
        <v>-665.388588122041</v>
      </c>
    </row>
    <row r="18" customFormat="false" ht="15" hidden="false" customHeight="false" outlineLevel="0" collapsed="false">
      <c r="A18" s="2" t="s">
        <v>84</v>
      </c>
      <c r="C18" s="30" t="n">
        <f aca="false">C12+C14+C15+C16</f>
        <v>17880.220985</v>
      </c>
      <c r="D18" s="30" t="n">
        <f aca="false">D12+D14+D15+D16</f>
        <v>19094.648949025</v>
      </c>
      <c r="E18" s="30" t="n">
        <f aca="false">E12+E14+E15+E16</f>
        <v>20296.1964379665</v>
      </c>
      <c r="F18" s="30" t="n">
        <f aca="false">F12+F14+F15+F16</f>
        <v>21471.9872499347</v>
      </c>
      <c r="G18" s="30" t="n">
        <f aca="false">G12+G14+G15+G16</f>
        <v>22608.6566207842</v>
      </c>
    </row>
    <row r="20" customFormat="false" ht="15" hidden="false" customHeight="false" outlineLevel="0" collapsed="false">
      <c r="A20" s="16" t="s">
        <v>85</v>
      </c>
      <c r="C20" s="31" t="n">
        <v>1</v>
      </c>
      <c r="D20" s="31" t="n">
        <v>2</v>
      </c>
      <c r="E20" s="31" t="n">
        <v>3</v>
      </c>
      <c r="F20" s="31" t="n">
        <v>4</v>
      </c>
      <c r="G20" s="31" t="n">
        <v>5</v>
      </c>
    </row>
    <row r="21" customFormat="false" ht="15" hidden="false" customHeight="false" outlineLevel="0" collapsed="false">
      <c r="A21" s="16" t="s">
        <v>86</v>
      </c>
      <c r="C21" s="32" t="n">
        <f aca="false">1/(1+Assumptions!$D$36)^C20</f>
        <v>0.890922623870109</v>
      </c>
      <c r="D21" s="32" t="n">
        <f aca="false">1/(1+Assumptions!$D$36)^D20</f>
        <v>0.793743121723599</v>
      </c>
      <c r="E21" s="32" t="n">
        <f aca="false">1/(1+Assumptions!$D$36)^E20</f>
        <v>0.70716370468484</v>
      </c>
      <c r="F21" s="32" t="n">
        <f aca="false">1/(1+Assumptions!$D$36)^F20</f>
        <v>0.630028143283524</v>
      </c>
      <c r="G21" s="32" t="n">
        <f aca="false">1/(1+Assumptions!$D$36)^G20</f>
        <v>0.56130632652617</v>
      </c>
    </row>
    <row r="22" customFormat="false" ht="15" hidden="false" customHeight="false" outlineLevel="0" collapsed="false">
      <c r="A22" s="4" t="s">
        <v>87</v>
      </c>
      <c r="C22" s="27" t="n">
        <f aca="false">C18*C21</f>
        <v>15929.8933953336</v>
      </c>
      <c r="D22" s="27" t="n">
        <f aca="false">D18*D21</f>
        <v>15156.2462650153</v>
      </c>
      <c r="E22" s="27" t="n">
        <f aca="false">E18*E21</f>
        <v>14352.7334640836</v>
      </c>
      <c r="F22" s="27" t="n">
        <f aca="false">F18*F21</f>
        <v>13527.9562596838</v>
      </c>
      <c r="G22" s="27" t="n">
        <f aca="false">G18*G21</f>
        <v>12690.3819955039</v>
      </c>
    </row>
    <row r="25" customFormat="false" ht="15" hidden="false" customHeight="false" outlineLevel="0" collapsed="false">
      <c r="A25" s="14" t="s">
        <v>88</v>
      </c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4" t="s">
        <v>89</v>
      </c>
      <c r="B26" s="27" t="n">
        <f aca="false">SUM(C22:G22)</f>
        <v>71657.2113796203</v>
      </c>
    </row>
    <row r="27" customFormat="false" ht="15" hidden="false" customHeight="false" outlineLevel="0" collapsed="false">
      <c r="A27" s="4" t="s">
        <v>90</v>
      </c>
      <c r="B27" s="27" t="n">
        <f aca="false">G18*(1+Assumptions!$B$11)/(Assumptions!$D$36-Assumptions!$B$11)</f>
        <v>327743.434727701</v>
      </c>
    </row>
    <row r="28" customFormat="false" ht="15" hidden="false" customHeight="false" outlineLevel="0" collapsed="false">
      <c r="A28" s="4" t="s">
        <v>91</v>
      </c>
      <c r="B28" s="27" t="n">
        <f aca="false">B27*G21</f>
        <v>183964.463390075</v>
      </c>
    </row>
    <row r="29" customFormat="false" ht="15" hidden="false" customHeight="false" outlineLevel="0" collapsed="false">
      <c r="A29" s="2" t="s">
        <v>92</v>
      </c>
      <c r="B29" s="29" t="n">
        <f aca="false">B26+B28</f>
        <v>255621.674769696</v>
      </c>
    </row>
    <row r="30" customFormat="false" ht="15" hidden="false" customHeight="false" outlineLevel="0" collapsed="false">
      <c r="A30" s="4" t="s">
        <v>93</v>
      </c>
      <c r="B30" s="33" t="n">
        <f aca="false">Assumptions!$D$31</f>
        <v>-9500</v>
      </c>
    </row>
    <row r="31" customFormat="false" ht="15" hidden="false" customHeight="false" outlineLevel="0" collapsed="false">
      <c r="A31" s="2" t="s">
        <v>94</v>
      </c>
      <c r="B31" s="29" t="n">
        <f aca="false">B29-B30</f>
        <v>265121.674769696</v>
      </c>
    </row>
    <row r="32" customFormat="false" ht="15" hidden="false" customHeight="false" outlineLevel="0" collapsed="false">
      <c r="A32" s="4" t="s">
        <v>33</v>
      </c>
      <c r="B32" s="34" t="n">
        <f aca="false">Assumptions!$D$16</f>
        <v>271.4</v>
      </c>
    </row>
    <row r="33" customFormat="false" ht="15" hidden="false" customHeight="false" outlineLevel="0" collapsed="false">
      <c r="A33" s="7" t="s">
        <v>8</v>
      </c>
      <c r="B33" s="35" t="n">
        <f aca="false">B31/B32</f>
        <v>976.866893034988</v>
      </c>
    </row>
    <row r="34" customFormat="false" ht="15" hidden="false" customHeight="false" outlineLevel="0" collapsed="false">
      <c r="A34" s="4" t="s">
        <v>9</v>
      </c>
      <c r="B34" s="36" t="n">
        <f aca="false">Assumptions!$D$15</f>
        <v>1150</v>
      </c>
    </row>
    <row r="35" customFormat="false" ht="15" hidden="false" customHeight="false" outlineLevel="0" collapsed="false">
      <c r="A35" s="2" t="s">
        <v>10</v>
      </c>
      <c r="B35" s="37" t="n">
        <f aca="false">B33/B34-1</f>
        <v>-0.150550527795663</v>
      </c>
    </row>
  </sheetData>
  <mergeCells count="2">
    <mergeCell ref="A1:G1"/>
    <mergeCell ref="A25:G2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2026-07-11T15:33:49Z</dcterms:created>
  <dc:creator>openpyxl</dc:creator>
  <dc:description/>
  <dc:language>en-US</dc:language>
  <cp:lastModifiedBy/>
  <dcterms:modified xsi:type="dcterms:W3CDTF">2026-07-11T15:33:54Z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